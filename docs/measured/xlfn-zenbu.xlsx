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8_{79798792-F2E8-41C1-A583-EAED88937350}" xr6:coauthVersionLast="47" xr6:coauthVersionMax="47" xr10:uidLastSave="{00000000-0000-0000-0000-000000000000}"/>
  <bookViews>
    <workbookView xWindow="-98" yWindow="-98" windowWidth="21795" windowHeight="11625" xr2:uid="{5C3A40AA-E9E6-405C-8B06-1D09608E06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367" i="1" l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  <c r="C11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¥&quot;#,##0.00;[Red]&quot;¥&quot;\-#,##0.00"/>
  </numFmts>
  <fonts count="3" x14ac:knownFonts="1"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8" fontId="0" fillId="0" borderId="0" xfId="0" applyNumberFormat="1">
      <alignment vertical="center"/>
    </xf>
    <xf numFmtId="0" fontId="1" fillId="0" borderId="0" xfId="1">
      <alignment vertical="center"/>
    </xf>
    <xf numFmtId="9" fontId="0" fillId="0" borderId="0" xfId="0" applyNumberFormat="1">
      <alignment vertical="center"/>
    </xf>
    <xf numFmtId="22" fontId="0" fillId="0" borderId="0" xfId="0" applyNumberFormat="1">
      <alignment vertical="center"/>
    </xf>
    <xf numFmtId="18" fontId="0" fillId="0" borderId="0" xfId="0" applyNumberForma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A1C3-CEB2-454C-8C18-00864F81AA0E}">
  <dimension ref="A1:C367"/>
  <sheetViews>
    <sheetView tabSelected="1" workbookViewId="0"/>
  </sheetViews>
  <sheetFormatPr defaultRowHeight="17.649999999999999" x14ac:dyDescent="0.7"/>
  <sheetData>
    <row r="1" spans="1:3" x14ac:dyDescent="0.7">
      <c r="A1">
        <v>1</v>
      </c>
      <c r="C1">
        <f>ABS(1)</f>
        <v>1</v>
      </c>
    </row>
    <row r="2" spans="1:3" x14ac:dyDescent="0.7">
      <c r="A2">
        <v>2</v>
      </c>
      <c r="C2">
        <f>ACOS(1)</f>
        <v>0</v>
      </c>
    </row>
    <row r="3" spans="1:3" x14ac:dyDescent="0.7">
      <c r="A3">
        <v>3</v>
      </c>
      <c r="C3">
        <f>ACOSH(1)</f>
        <v>0</v>
      </c>
    </row>
    <row r="4" spans="1:3" x14ac:dyDescent="0.7">
      <c r="A4">
        <v>4</v>
      </c>
      <c r="C4">
        <f>_xlfn.ACOT(1)</f>
        <v>0.78539816339744828</v>
      </c>
    </row>
    <row r="5" spans="1:3" x14ac:dyDescent="0.7">
      <c r="A5">
        <v>5</v>
      </c>
      <c r="C5" t="e">
        <f>_xlfn.ACOTH(1)</f>
        <v>#NUM!</v>
      </c>
    </row>
    <row r="6" spans="1:3" x14ac:dyDescent="0.7">
      <c r="C6" t="str">
        <f>ADDRESS(1,1)</f>
        <v>$A$1</v>
      </c>
    </row>
    <row r="7" spans="1:3" x14ac:dyDescent="0.7">
      <c r="C7" t="b">
        <f>AND(1)</f>
        <v>1</v>
      </c>
    </row>
    <row r="8" spans="1:3" x14ac:dyDescent="0.7">
      <c r="C8" t="e">
        <f>_xlfn.ARABIC(1)</f>
        <v>#VALUE!</v>
      </c>
    </row>
    <row r="9" spans="1:3" x14ac:dyDescent="0.7">
      <c r="C9">
        <f>ASIN(1)</f>
        <v>1.5707963267948966</v>
      </c>
    </row>
    <row r="10" spans="1:3" x14ac:dyDescent="0.7">
      <c r="C10">
        <f>ASINH(1)</f>
        <v>0.88137358701954294</v>
      </c>
    </row>
    <row r="11" spans="1:3" x14ac:dyDescent="0.7">
      <c r="C11">
        <f>ATAN(1)</f>
        <v>0.78539816339744828</v>
      </c>
    </row>
    <row r="12" spans="1:3" x14ac:dyDescent="0.7">
      <c r="C12">
        <f>ATAN2(1,1)</f>
        <v>0.78539816339744828</v>
      </c>
    </row>
    <row r="13" spans="1:3" x14ac:dyDescent="0.7">
      <c r="C13" t="e">
        <f>ATANH(1)</f>
        <v>#NUM!</v>
      </c>
    </row>
    <row r="14" spans="1:3" x14ac:dyDescent="0.7">
      <c r="C14">
        <f>AVEDEV(1)</f>
        <v>0</v>
      </c>
    </row>
    <row r="15" spans="1:3" x14ac:dyDescent="0.7">
      <c r="C15">
        <f>AVERAGE(1)</f>
        <v>1</v>
      </c>
    </row>
    <row r="16" spans="1:3" x14ac:dyDescent="0.7">
      <c r="C16">
        <f>AVERAGEA(1)</f>
        <v>1</v>
      </c>
    </row>
    <row r="17" spans="3:3" x14ac:dyDescent="0.7">
      <c r="C17" t="e">
        <f>_xlfn.BASE(1,1)</f>
        <v>#NUM!</v>
      </c>
    </row>
    <row r="18" spans="3:3" x14ac:dyDescent="0.7">
      <c r="C18">
        <f>_xlfn.BETA.DIST(1,1,1,1)</f>
        <v>1</v>
      </c>
    </row>
    <row r="19" spans="3:3" x14ac:dyDescent="0.7">
      <c r="C19" t="e">
        <f>_xlfn.BETA.INV(1,1,1)</f>
        <v>#NUM!</v>
      </c>
    </row>
    <row r="20" spans="3:3" x14ac:dyDescent="0.7">
      <c r="C20">
        <f>BETADIST(1,1,1)</f>
        <v>1</v>
      </c>
    </row>
    <row r="21" spans="3:3" x14ac:dyDescent="0.7">
      <c r="C21" t="e">
        <f>BETAINV(1,1,1)</f>
        <v>#NUM!</v>
      </c>
    </row>
    <row r="22" spans="3:3" x14ac:dyDescent="0.7">
      <c r="C22">
        <f>BIN2DEC(1)</f>
        <v>1</v>
      </c>
    </row>
    <row r="23" spans="3:3" x14ac:dyDescent="0.7">
      <c r="C23" t="str">
        <f>BIN2HEX(1)</f>
        <v>1</v>
      </c>
    </row>
    <row r="24" spans="3:3" x14ac:dyDescent="0.7">
      <c r="C24" t="str">
        <f>BIN2OCT(1)</f>
        <v>1</v>
      </c>
    </row>
    <row r="25" spans="3:3" x14ac:dyDescent="0.7">
      <c r="C25">
        <f>_xlfn.BINOM.DIST(1,1,1,1)</f>
        <v>1</v>
      </c>
    </row>
    <row r="26" spans="3:3" x14ac:dyDescent="0.7">
      <c r="C26">
        <f>_xlfn.BINOM.DIST.RANGE(1,1,1)</f>
        <v>1</v>
      </c>
    </row>
    <row r="27" spans="3:3" x14ac:dyDescent="0.7">
      <c r="C27" t="e">
        <f>_xlfn.BINOM.INV(1,1,1)</f>
        <v>#NUM!</v>
      </c>
    </row>
    <row r="28" spans="3:3" x14ac:dyDescent="0.7">
      <c r="C28">
        <f>BINOMDIST(1,1,1,1)</f>
        <v>1</v>
      </c>
    </row>
    <row r="29" spans="3:3" x14ac:dyDescent="0.7">
      <c r="C29">
        <f>_xlfn.BITAND(1,1)</f>
        <v>1</v>
      </c>
    </row>
    <row r="30" spans="3:3" x14ac:dyDescent="0.7">
      <c r="C30">
        <f>_xlfn.BITLSHIFT(1,1)</f>
        <v>2</v>
      </c>
    </row>
    <row r="31" spans="3:3" x14ac:dyDescent="0.7">
      <c r="C31">
        <f>_xlfn.BITOR(1,1)</f>
        <v>1</v>
      </c>
    </row>
    <row r="32" spans="3:3" x14ac:dyDescent="0.7">
      <c r="C32">
        <f>_xlfn.BITRSHIFT(1,1)</f>
        <v>0</v>
      </c>
    </row>
    <row r="33" spans="3:3" x14ac:dyDescent="0.7">
      <c r="C33">
        <f>_xlfn.BITXOR(1,1)</f>
        <v>0</v>
      </c>
    </row>
    <row r="34" spans="3:3" x14ac:dyDescent="0.7">
      <c r="C34">
        <f>CEILING(1,1)</f>
        <v>1</v>
      </c>
    </row>
    <row r="35" spans="3:3" x14ac:dyDescent="0.7">
      <c r="C35">
        <f>_xlfn.CEILING.MATH(1)</f>
        <v>1</v>
      </c>
    </row>
    <row r="36" spans="3:3" x14ac:dyDescent="0.7">
      <c r="C36">
        <f>_xlfn.CEILING.PRECISE(1)</f>
        <v>1</v>
      </c>
    </row>
    <row r="37" spans="3:3" x14ac:dyDescent="0.7">
      <c r="C37" t="str">
        <f>CHAR(1)</f>
        <v>_x0001_</v>
      </c>
    </row>
    <row r="38" spans="3:3" x14ac:dyDescent="0.7">
      <c r="C38">
        <f>CHIDIST(1,1)</f>
        <v>0.31731050786291398</v>
      </c>
    </row>
    <row r="39" spans="3:3" x14ac:dyDescent="0.7">
      <c r="C39">
        <f>CHIINV(1,1)</f>
        <v>0</v>
      </c>
    </row>
    <row r="40" spans="3:3" x14ac:dyDescent="0.7">
      <c r="C40">
        <f>_xlfn.CHISQ.DIST(1,1,1)</f>
        <v>0.68268949213708607</v>
      </c>
    </row>
    <row r="41" spans="3:3" x14ac:dyDescent="0.7">
      <c r="C41">
        <f>_xlfn.CHISQ.DIST.RT(1,1)</f>
        <v>0.31731050786291398</v>
      </c>
    </row>
    <row r="42" spans="3:3" x14ac:dyDescent="0.7">
      <c r="C42" t="e">
        <f>_xlfn.CHISQ.INV(1,1)</f>
        <v>#NUM!</v>
      </c>
    </row>
    <row r="43" spans="3:3" x14ac:dyDescent="0.7">
      <c r="C43">
        <f>_xlfn.CHISQ.INV.RT(1,1)</f>
        <v>0</v>
      </c>
    </row>
    <row r="44" spans="3:3" x14ac:dyDescent="0.7">
      <c r="C44" t="e">
        <f>_xlfn.CHISQ.TEST(1,1)</f>
        <v>#N/A</v>
      </c>
    </row>
    <row r="45" spans="3:3" x14ac:dyDescent="0.7">
      <c r="C45" t="e">
        <f>CHITEST(1,1)</f>
        <v>#N/A</v>
      </c>
    </row>
    <row r="46" spans="3:3" x14ac:dyDescent="0.7">
      <c r="C46">
        <f>CHOOSE(1,1)</f>
        <v>1</v>
      </c>
    </row>
    <row r="47" spans="3:3" x14ac:dyDescent="0.7">
      <c r="C47" t="str">
        <f>CLEAN(1)</f>
        <v>1</v>
      </c>
    </row>
    <row r="48" spans="3:3" x14ac:dyDescent="0.7">
      <c r="C48">
        <f>CODE(1)</f>
        <v>49</v>
      </c>
    </row>
    <row r="49" spans="3:3" x14ac:dyDescent="0.7">
      <c r="C49">
        <f>COLUMN()</f>
        <v>3</v>
      </c>
    </row>
    <row r="50" spans="3:3" x14ac:dyDescent="0.7">
      <c r="C50">
        <f>COLUMNS(1)</f>
        <v>1</v>
      </c>
    </row>
    <row r="51" spans="3:3" x14ac:dyDescent="0.7">
      <c r="C51">
        <f>COMBIN(1,1)</f>
        <v>1</v>
      </c>
    </row>
    <row r="52" spans="3:3" x14ac:dyDescent="0.7">
      <c r="C52">
        <f>_xlfn.COMBINA(1,1)</f>
        <v>1</v>
      </c>
    </row>
    <row r="53" spans="3:3" x14ac:dyDescent="0.7">
      <c r="C53" t="str">
        <f>COMPLEX(1,1)</f>
        <v>1+i</v>
      </c>
    </row>
    <row r="54" spans="3:3" x14ac:dyDescent="0.7">
      <c r="C54" t="str">
        <f>_xlfn.CONCAT(1)</f>
        <v>1</v>
      </c>
    </row>
    <row r="55" spans="3:3" x14ac:dyDescent="0.7">
      <c r="C55" t="str">
        <f>CONCATENATE(1)</f>
        <v>1</v>
      </c>
    </row>
    <row r="56" spans="3:3" x14ac:dyDescent="0.7">
      <c r="C56" t="e">
        <f>CONFIDENCE(1,1,1)</f>
        <v>#NUM!</v>
      </c>
    </row>
    <row r="57" spans="3:3" x14ac:dyDescent="0.7">
      <c r="C57" t="e">
        <f>_xlfn.CONFIDENCE.NORM(1,1,1)</f>
        <v>#NUM!</v>
      </c>
    </row>
    <row r="58" spans="3:3" x14ac:dyDescent="0.7">
      <c r="C58" t="e">
        <f>_xlfn.CONFIDENCE.T(1,1,1)</f>
        <v>#NUM!</v>
      </c>
    </row>
    <row r="59" spans="3:3" x14ac:dyDescent="0.7">
      <c r="C59" t="e">
        <f>CORREL(1,1)</f>
        <v>#DIV/0!</v>
      </c>
    </row>
    <row r="60" spans="3:3" x14ac:dyDescent="0.7">
      <c r="C60">
        <f>COS(1)</f>
        <v>0.54030230586813977</v>
      </c>
    </row>
    <row r="61" spans="3:3" x14ac:dyDescent="0.7">
      <c r="C61">
        <f>COSH(1)</f>
        <v>1.5430806348152437</v>
      </c>
    </row>
    <row r="62" spans="3:3" x14ac:dyDescent="0.7">
      <c r="C62">
        <f>_xlfn.COT(1)</f>
        <v>0.64209261593433065</v>
      </c>
    </row>
    <row r="63" spans="3:3" x14ac:dyDescent="0.7">
      <c r="C63">
        <f>_xlfn.COTH(1)</f>
        <v>1.3130352854993315</v>
      </c>
    </row>
    <row r="64" spans="3:3" x14ac:dyDescent="0.7">
      <c r="C64">
        <f>COUNT(1)</f>
        <v>1</v>
      </c>
    </row>
    <row r="65" spans="3:3" x14ac:dyDescent="0.7">
      <c r="C65">
        <f>COUNTA(1)</f>
        <v>1</v>
      </c>
    </row>
    <row r="66" spans="3:3" x14ac:dyDescent="0.7">
      <c r="C66">
        <f>COVAR(1,1)</f>
        <v>0</v>
      </c>
    </row>
    <row r="67" spans="3:3" x14ac:dyDescent="0.7">
      <c r="C67">
        <f>_xlfn.COVARIANCE.P(1,1)</f>
        <v>0</v>
      </c>
    </row>
    <row r="68" spans="3:3" x14ac:dyDescent="0.7">
      <c r="C68" t="e">
        <f>_xlfn.COVARIANCE.S(1,1)</f>
        <v>#DIV/0!</v>
      </c>
    </row>
    <row r="69" spans="3:3" x14ac:dyDescent="0.7">
      <c r="C69" t="e">
        <f>CRITBINOM(1,1,1)</f>
        <v>#NUM!</v>
      </c>
    </row>
    <row r="70" spans="3:3" x14ac:dyDescent="0.7">
      <c r="C70">
        <f>_xlfn.CSC(1)</f>
        <v>1.1883951057781212</v>
      </c>
    </row>
    <row r="71" spans="3:3" x14ac:dyDescent="0.7">
      <c r="C71">
        <f>_xlfn.CSCH(1)</f>
        <v>0.85091812823932156</v>
      </c>
    </row>
    <row r="72" spans="3:3" x14ac:dyDescent="0.7">
      <c r="C72">
        <f>CUMIPMT(1,1,1,1,1,1)</f>
        <v>0</v>
      </c>
    </row>
    <row r="73" spans="3:3" x14ac:dyDescent="0.7">
      <c r="C73">
        <f>CUMPRINC(1,1,1,1,1,1)</f>
        <v>-1</v>
      </c>
    </row>
    <row r="74" spans="3:3" x14ac:dyDescent="0.7">
      <c r="C74" s="1">
        <f>DATE(1,1,1)</f>
        <v>367</v>
      </c>
    </row>
    <row r="75" spans="3:3" x14ac:dyDescent="0.7">
      <c r="C75" t="e">
        <f>DATEDIF(1,1,1)</f>
        <v>#NUM!</v>
      </c>
    </row>
    <row r="76" spans="3:3" x14ac:dyDescent="0.7">
      <c r="C76" t="e">
        <f>DATEVALUE(1)</f>
        <v>#VALUE!</v>
      </c>
    </row>
    <row r="77" spans="3:3" x14ac:dyDescent="0.7">
      <c r="C77">
        <f>DAY(1)</f>
        <v>1</v>
      </c>
    </row>
    <row r="78" spans="3:3" x14ac:dyDescent="0.7">
      <c r="C78">
        <f>_xlfn.DAYS(1,1)</f>
        <v>0</v>
      </c>
    </row>
    <row r="79" spans="3:3" x14ac:dyDescent="0.7">
      <c r="C79">
        <f>DAYS360(1,1)</f>
        <v>0</v>
      </c>
    </row>
    <row r="80" spans="3:3" x14ac:dyDescent="0.7">
      <c r="C80" s="2">
        <f>DB(1,1,1,1)</f>
        <v>0</v>
      </c>
    </row>
    <row r="81" spans="3:3" x14ac:dyDescent="0.7">
      <c r="C81" s="2">
        <f>DDB(1,1,1,1)</f>
        <v>0</v>
      </c>
    </row>
    <row r="82" spans="3:3" x14ac:dyDescent="0.7">
      <c r="C82" t="str">
        <f>DEC2BIN(1)</f>
        <v>1</v>
      </c>
    </row>
    <row r="83" spans="3:3" x14ac:dyDescent="0.7">
      <c r="C83" t="str">
        <f>DEC2HEX(1)</f>
        <v>1</v>
      </c>
    </row>
    <row r="84" spans="3:3" x14ac:dyDescent="0.7">
      <c r="C84" t="str">
        <f>DEC2OCT(1)</f>
        <v>1</v>
      </c>
    </row>
    <row r="85" spans="3:3" x14ac:dyDescent="0.7">
      <c r="C85" t="e">
        <f>_xlfn.DECIMAL(1,1)</f>
        <v>#NUM!</v>
      </c>
    </row>
    <row r="86" spans="3:3" x14ac:dyDescent="0.7">
      <c r="C86">
        <f>DEGREES(1)</f>
        <v>57.295779513082323</v>
      </c>
    </row>
    <row r="87" spans="3:3" x14ac:dyDescent="0.7">
      <c r="C87">
        <f>DELTA(1)</f>
        <v>0</v>
      </c>
    </row>
    <row r="88" spans="3:3" x14ac:dyDescent="0.7">
      <c r="C88">
        <f>DEVSQ(1)</f>
        <v>0</v>
      </c>
    </row>
    <row r="89" spans="3:3" x14ac:dyDescent="0.7">
      <c r="C89">
        <f>DOLLARDE(1,1)</f>
        <v>1</v>
      </c>
    </row>
    <row r="90" spans="3:3" x14ac:dyDescent="0.7">
      <c r="C90">
        <f>DOLLARFR(1,1)</f>
        <v>1</v>
      </c>
    </row>
    <row r="91" spans="3:3" x14ac:dyDescent="0.7">
      <c r="C91">
        <f>EDATE(1,1)</f>
        <v>32</v>
      </c>
    </row>
    <row r="92" spans="3:3" x14ac:dyDescent="0.7">
      <c r="C92">
        <f>EFFECT(1,1)</f>
        <v>1</v>
      </c>
    </row>
    <row r="93" spans="3:3" x14ac:dyDescent="0.7">
      <c r="C93">
        <f>EOMONTH(1,1)</f>
        <v>59</v>
      </c>
    </row>
    <row r="94" spans="3:3" x14ac:dyDescent="0.7">
      <c r="C94">
        <f>ERF(1)</f>
        <v>0.84270079294971489</v>
      </c>
    </row>
    <row r="95" spans="3:3" x14ac:dyDescent="0.7">
      <c r="C95">
        <f>_xlfn.ERF.PRECISE(1)</f>
        <v>0.84270079294971489</v>
      </c>
    </row>
    <row r="96" spans="3:3" x14ac:dyDescent="0.7">
      <c r="C96">
        <f>ERFC(1)</f>
        <v>0.15729920705028513</v>
      </c>
    </row>
    <row r="97" spans="3:3" x14ac:dyDescent="0.7">
      <c r="C97">
        <f>_xlfn.ERFC.PRECISE(1)</f>
        <v>0.15729920705028513</v>
      </c>
    </row>
    <row r="98" spans="3:3" x14ac:dyDescent="0.7">
      <c r="C98">
        <f>EVEN(1)</f>
        <v>2</v>
      </c>
    </row>
    <row r="99" spans="3:3" x14ac:dyDescent="0.7">
      <c r="C99" t="b">
        <f>EXACT(1,1)</f>
        <v>1</v>
      </c>
    </row>
    <row r="100" spans="3:3" x14ac:dyDescent="0.7">
      <c r="C100">
        <f>EXP(1)</f>
        <v>2.7182818284590451</v>
      </c>
    </row>
    <row r="101" spans="3:3" x14ac:dyDescent="0.7">
      <c r="C101">
        <f>_xlfn.EXPON.DIST(1,1,1)</f>
        <v>0.63212055882855767</v>
      </c>
    </row>
    <row r="102" spans="3:3" x14ac:dyDescent="0.7">
      <c r="C102">
        <f>EXPONDIST(1,1,1)</f>
        <v>0.63212055882855767</v>
      </c>
    </row>
    <row r="103" spans="3:3" x14ac:dyDescent="0.7">
      <c r="C103">
        <f>_xlfn.F.DIST(1,1,1,1)</f>
        <v>0.50000000000000011</v>
      </c>
    </row>
    <row r="104" spans="3:3" x14ac:dyDescent="0.7">
      <c r="C104">
        <f>_xlfn.F.DIST.RT(1,1,1)</f>
        <v>0.49999999999999989</v>
      </c>
    </row>
    <row r="105" spans="3:3" x14ac:dyDescent="0.7">
      <c r="C105" t="e">
        <f>_xlfn.F.INV(1,1,1)</f>
        <v>#NUM!</v>
      </c>
    </row>
    <row r="106" spans="3:3" x14ac:dyDescent="0.7">
      <c r="C106">
        <f>_xlfn.F.INV.RT(1,1,1)</f>
        <v>0</v>
      </c>
    </row>
    <row r="107" spans="3:3" x14ac:dyDescent="0.7">
      <c r="C107" t="e">
        <f>_xlfn.F.TEST(1,1)</f>
        <v>#DIV/0!</v>
      </c>
    </row>
    <row r="108" spans="3:3" x14ac:dyDescent="0.7">
      <c r="C108">
        <f>FACT(1)</f>
        <v>1</v>
      </c>
    </row>
    <row r="109" spans="3:3" x14ac:dyDescent="0.7">
      <c r="C109">
        <f>FACTDOUBLE(1)</f>
        <v>1</v>
      </c>
    </row>
    <row r="110" spans="3:3" x14ac:dyDescent="0.7">
      <c r="C110" t="b">
        <f>FALSE()</f>
        <v>0</v>
      </c>
    </row>
    <row r="111" spans="3:3" x14ac:dyDescent="0.7">
      <c r="C111">
        <f>FDIST(1,1,1)</f>
        <v>0.49999999999999989</v>
      </c>
    </row>
    <row r="112" spans="3:3" x14ac:dyDescent="0.7">
      <c r="C112">
        <f>_xlfn._xlws.FILTER(1,1)</f>
        <v>1</v>
      </c>
    </row>
    <row r="113" spans="3:3" x14ac:dyDescent="0.7">
      <c r="C113">
        <f>FIND(1,1)</f>
        <v>1</v>
      </c>
    </row>
    <row r="114" spans="3:3" x14ac:dyDescent="0.7">
      <c r="C114">
        <f>FINV(1,1,1)</f>
        <v>0</v>
      </c>
    </row>
    <row r="115" spans="3:3" x14ac:dyDescent="0.7">
      <c r="C115" t="e">
        <f>FISHER(1)</f>
        <v>#NUM!</v>
      </c>
    </row>
    <row r="116" spans="3:3" x14ac:dyDescent="0.7">
      <c r="C116">
        <f>FISHERINV(1)</f>
        <v>0.76159415595576485</v>
      </c>
    </row>
    <row r="117" spans="3:3" x14ac:dyDescent="0.7">
      <c r="C117">
        <f>FLOOR(1,1)</f>
        <v>1</v>
      </c>
    </row>
    <row r="118" spans="3:3" x14ac:dyDescent="0.7">
      <c r="C118">
        <f>_xlfn.FLOOR.MATH(1)</f>
        <v>1</v>
      </c>
    </row>
    <row r="119" spans="3:3" x14ac:dyDescent="0.7">
      <c r="C119">
        <f>_xlfn.FLOOR.PRECISE(1)</f>
        <v>1</v>
      </c>
    </row>
    <row r="120" spans="3:3" x14ac:dyDescent="0.7">
      <c r="C120">
        <f>FREQUENCY(1,1)</f>
        <v>1</v>
      </c>
    </row>
    <row r="121" spans="3:3" x14ac:dyDescent="0.7">
      <c r="C121" t="e">
        <f>FTEST(1,1)</f>
        <v>#DIV/0!</v>
      </c>
    </row>
    <row r="122" spans="3:3" x14ac:dyDescent="0.7">
      <c r="C122" s="2">
        <f>FV(1,1,1)</f>
        <v>-1</v>
      </c>
    </row>
    <row r="123" spans="3:3" x14ac:dyDescent="0.7">
      <c r="C123">
        <f>FVSCHEDULE(1,1)</f>
        <v>2</v>
      </c>
    </row>
    <row r="124" spans="3:3" x14ac:dyDescent="0.7">
      <c r="C124">
        <f>_xlfn.GAMMA(1)</f>
        <v>1</v>
      </c>
    </row>
    <row r="125" spans="3:3" x14ac:dyDescent="0.7">
      <c r="C125">
        <f>_xlfn.GAMMA.DIST(1,1,1,1)</f>
        <v>0.63212055882855767</v>
      </c>
    </row>
    <row r="126" spans="3:3" x14ac:dyDescent="0.7">
      <c r="C126" t="e">
        <f>_xlfn.GAMMA.INV(1,1,1)</f>
        <v>#NUM!</v>
      </c>
    </row>
    <row r="127" spans="3:3" x14ac:dyDescent="0.7">
      <c r="C127">
        <f>GAMMADIST(1,1,1,1)</f>
        <v>0.63212055882855767</v>
      </c>
    </row>
    <row r="128" spans="3:3" x14ac:dyDescent="0.7">
      <c r="C128" t="e">
        <f>GAMMAINV(1,1,1)</f>
        <v>#NUM!</v>
      </c>
    </row>
    <row r="129" spans="3:3" x14ac:dyDescent="0.7">
      <c r="C129">
        <f>GAMMALN(1)</f>
        <v>0</v>
      </c>
    </row>
    <row r="130" spans="3:3" x14ac:dyDescent="0.7">
      <c r="C130">
        <f>_xlfn.GAMMALN.PRECISE(1)</f>
        <v>0</v>
      </c>
    </row>
    <row r="131" spans="3:3" x14ac:dyDescent="0.7">
      <c r="C131">
        <f>_xlfn.GAUSS(1)</f>
        <v>0.34134474606854304</v>
      </c>
    </row>
    <row r="132" spans="3:3" x14ac:dyDescent="0.7">
      <c r="C132">
        <f>GCD(1)</f>
        <v>1</v>
      </c>
    </row>
    <row r="133" spans="3:3" x14ac:dyDescent="0.7">
      <c r="C133">
        <f>GEOMEAN(1)</f>
        <v>1</v>
      </c>
    </row>
    <row r="134" spans="3:3" x14ac:dyDescent="0.7">
      <c r="C134">
        <f>GESTEP(1)</f>
        <v>1</v>
      </c>
    </row>
    <row r="135" spans="3:3" x14ac:dyDescent="0.7">
      <c r="C135">
        <f>HARMEAN(1)</f>
        <v>1</v>
      </c>
    </row>
    <row r="136" spans="3:3" x14ac:dyDescent="0.7">
      <c r="C136" t="str">
        <f>HEX2BIN(1)</f>
        <v>1</v>
      </c>
    </row>
    <row r="137" spans="3:3" x14ac:dyDescent="0.7">
      <c r="C137">
        <f>HEX2DEC(1)</f>
        <v>1</v>
      </c>
    </row>
    <row r="138" spans="3:3" x14ac:dyDescent="0.7">
      <c r="C138" t="str">
        <f>HEX2OCT(1)</f>
        <v>1</v>
      </c>
    </row>
    <row r="139" spans="3:3" x14ac:dyDescent="0.7">
      <c r="C139" t="e">
        <f>HLOOKUP(1,1,1)</f>
        <v>#N/A</v>
      </c>
    </row>
    <row r="140" spans="3:3" x14ac:dyDescent="0.7">
      <c r="C140">
        <f>HOUR(1)</f>
        <v>0</v>
      </c>
    </row>
    <row r="141" spans="3:3" x14ac:dyDescent="0.7">
      <c r="C141">
        <f>_xlfn.HSTACK(1)</f>
        <v>1</v>
      </c>
    </row>
    <row r="142" spans="3:3" x14ac:dyDescent="0.7">
      <c r="C142" s="3" t="str">
        <f>HYPERLINK(1)</f>
        <v>1</v>
      </c>
    </row>
    <row r="143" spans="3:3" x14ac:dyDescent="0.7">
      <c r="C143">
        <f>_xlfn.HYPGEOM.DIST(1,1,1,1,1)</f>
        <v>1</v>
      </c>
    </row>
    <row r="144" spans="3:3" x14ac:dyDescent="0.7">
      <c r="C144">
        <f>HYPGEOMDIST(1,1,1,1)</f>
        <v>1</v>
      </c>
    </row>
    <row r="145" spans="3:3" x14ac:dyDescent="0.7">
      <c r="C145">
        <f>IF(1,1)</f>
        <v>1</v>
      </c>
    </row>
    <row r="146" spans="3:3" x14ac:dyDescent="0.7">
      <c r="C146">
        <f>IFERROR(1,1)</f>
        <v>1</v>
      </c>
    </row>
    <row r="147" spans="3:3" x14ac:dyDescent="0.7">
      <c r="C147">
        <f>_xlfn.IFNA(1,1)</f>
        <v>1</v>
      </c>
    </row>
    <row r="148" spans="3:3" x14ac:dyDescent="0.7">
      <c r="C148">
        <f>_xlfn.IFS(1,1)</f>
        <v>1</v>
      </c>
    </row>
    <row r="149" spans="3:3" x14ac:dyDescent="0.7">
      <c r="C149">
        <f>IMABS(1)</f>
        <v>1</v>
      </c>
    </row>
    <row r="150" spans="3:3" x14ac:dyDescent="0.7">
      <c r="C150">
        <f>IMAGINARY(1)</f>
        <v>0</v>
      </c>
    </row>
    <row r="151" spans="3:3" x14ac:dyDescent="0.7">
      <c r="C151">
        <f>IMARGUMENT(1)</f>
        <v>0</v>
      </c>
    </row>
    <row r="152" spans="3:3" x14ac:dyDescent="0.7">
      <c r="C152" t="str">
        <f>IMCONJUGATE(1)</f>
        <v>1</v>
      </c>
    </row>
    <row r="153" spans="3:3" x14ac:dyDescent="0.7">
      <c r="C153" t="str">
        <f>IMCOS(1)</f>
        <v>0.54030230586814</v>
      </c>
    </row>
    <row r="154" spans="3:3" x14ac:dyDescent="0.7">
      <c r="C154" t="str">
        <f>_xlfn.IMCOSH(1)</f>
        <v>1.54308063481524</v>
      </c>
    </row>
    <row r="155" spans="3:3" x14ac:dyDescent="0.7">
      <c r="C155" t="str">
        <f>_xlfn.IMCOT(1)</f>
        <v>0.642092615934331</v>
      </c>
    </row>
    <row r="156" spans="3:3" x14ac:dyDescent="0.7">
      <c r="C156" t="str">
        <f>_xlfn.IMCSC(1)</f>
        <v>1.18839510577812</v>
      </c>
    </row>
    <row r="157" spans="3:3" x14ac:dyDescent="0.7">
      <c r="C157" t="str">
        <f>_xlfn.IMCSCH(1)</f>
        <v>0.850918128239322</v>
      </c>
    </row>
    <row r="158" spans="3:3" x14ac:dyDescent="0.7">
      <c r="C158" t="str">
        <f>IMDIV(1,1)</f>
        <v>1</v>
      </c>
    </row>
    <row r="159" spans="3:3" x14ac:dyDescent="0.7">
      <c r="C159" t="str">
        <f>IMEXP(1)</f>
        <v>2.71828182845905</v>
      </c>
    </row>
    <row r="160" spans="3:3" x14ac:dyDescent="0.7">
      <c r="C160" t="str">
        <f>IMLN(1)</f>
        <v>0</v>
      </c>
    </row>
    <row r="161" spans="3:3" x14ac:dyDescent="0.7">
      <c r="C161" t="str">
        <f>IMLOG10(1)</f>
        <v>0</v>
      </c>
    </row>
    <row r="162" spans="3:3" x14ac:dyDescent="0.7">
      <c r="C162" t="str">
        <f>IMLOG2(1)</f>
        <v>0</v>
      </c>
    </row>
    <row r="163" spans="3:3" x14ac:dyDescent="0.7">
      <c r="C163" t="str">
        <f>IMPOWER(1,1)</f>
        <v>1</v>
      </c>
    </row>
    <row r="164" spans="3:3" x14ac:dyDescent="0.7">
      <c r="C164" t="str">
        <f>IMPRODUCT(1)</f>
        <v>1</v>
      </c>
    </row>
    <row r="165" spans="3:3" x14ac:dyDescent="0.7">
      <c r="C165">
        <f>IMREAL(1)</f>
        <v>1</v>
      </c>
    </row>
    <row r="166" spans="3:3" x14ac:dyDescent="0.7">
      <c r="C166" t="str">
        <f>_xlfn.IMSEC(1)</f>
        <v>1.85081571768093</v>
      </c>
    </row>
    <row r="167" spans="3:3" x14ac:dyDescent="0.7">
      <c r="C167" t="str">
        <f>_xlfn.IMSECH(1)</f>
        <v>0.648054273663885</v>
      </c>
    </row>
    <row r="168" spans="3:3" x14ac:dyDescent="0.7">
      <c r="C168" t="str">
        <f>IMSIN(1)</f>
        <v>0.841470984807897</v>
      </c>
    </row>
    <row r="169" spans="3:3" x14ac:dyDescent="0.7">
      <c r="C169" t="str">
        <f>_xlfn.IMSINH(1)</f>
        <v>1.1752011936438</v>
      </c>
    </row>
    <row r="170" spans="3:3" x14ac:dyDescent="0.7">
      <c r="C170" t="str">
        <f>IMSQRT(1)</f>
        <v>1</v>
      </c>
    </row>
    <row r="171" spans="3:3" x14ac:dyDescent="0.7">
      <c r="C171" t="str">
        <f>IMSUB(1,1)</f>
        <v>0</v>
      </c>
    </row>
    <row r="172" spans="3:3" x14ac:dyDescent="0.7">
      <c r="C172" t="str">
        <f>IMSUM(1)</f>
        <v>1</v>
      </c>
    </row>
    <row r="173" spans="3:3" x14ac:dyDescent="0.7">
      <c r="C173" t="str">
        <f>_xlfn.IMTAN(1)</f>
        <v>1.5574077246549</v>
      </c>
    </row>
    <row r="174" spans="3:3" x14ac:dyDescent="0.7">
      <c r="C174">
        <f>INDEX(1,1)</f>
        <v>1</v>
      </c>
    </row>
    <row r="175" spans="3:3" x14ac:dyDescent="0.7">
      <c r="C175">
        <f>INT(1)</f>
        <v>1</v>
      </c>
    </row>
    <row r="176" spans="3:3" x14ac:dyDescent="0.7">
      <c r="C176" t="e">
        <f>INTERCEPT(1,1)</f>
        <v>#DIV/0!</v>
      </c>
    </row>
    <row r="177" spans="3:3" x14ac:dyDescent="0.7">
      <c r="C177" s="2">
        <f>IPMT(1,1,1,1)</f>
        <v>-1</v>
      </c>
    </row>
    <row r="178" spans="3:3" x14ac:dyDescent="0.7">
      <c r="C178" s="4" t="e">
        <f>IRR(1)</f>
        <v>#NUM!</v>
      </c>
    </row>
    <row r="179" spans="3:3" x14ac:dyDescent="0.7">
      <c r="C179" t="b">
        <f>ISBLANK(1)</f>
        <v>0</v>
      </c>
    </row>
    <row r="180" spans="3:3" x14ac:dyDescent="0.7">
      <c r="C180" t="b">
        <f>ISERR(1)</f>
        <v>0</v>
      </c>
    </row>
    <row r="181" spans="3:3" x14ac:dyDescent="0.7">
      <c r="C181" t="b">
        <f>ISERROR(1)</f>
        <v>0</v>
      </c>
    </row>
    <row r="182" spans="3:3" x14ac:dyDescent="0.7">
      <c r="C182" t="b">
        <f>ISEVEN(1)</f>
        <v>0</v>
      </c>
    </row>
    <row r="183" spans="3:3" x14ac:dyDescent="0.7">
      <c r="C183" t="b">
        <f>ISLOGICAL(1)</f>
        <v>0</v>
      </c>
    </row>
    <row r="184" spans="3:3" x14ac:dyDescent="0.7">
      <c r="C184" t="b">
        <f>ISNA(1)</f>
        <v>0</v>
      </c>
    </row>
    <row r="185" spans="3:3" x14ac:dyDescent="0.7">
      <c r="C185" t="b">
        <f>ISNONTEXT(1)</f>
        <v>1</v>
      </c>
    </row>
    <row r="186" spans="3:3" x14ac:dyDescent="0.7">
      <c r="C186" t="b">
        <f>ISNUMBER(1)</f>
        <v>1</v>
      </c>
    </row>
    <row r="187" spans="3:3" x14ac:dyDescent="0.7">
      <c r="C187">
        <f>ISO.CEILING(1)</f>
        <v>1</v>
      </c>
    </row>
    <row r="188" spans="3:3" x14ac:dyDescent="0.7">
      <c r="C188" t="b">
        <f>ISODD(1)</f>
        <v>1</v>
      </c>
    </row>
    <row r="189" spans="3:3" x14ac:dyDescent="0.7">
      <c r="C189" t="b">
        <f>_xlfn.ISOMITTED(1)</f>
        <v>0</v>
      </c>
    </row>
    <row r="190" spans="3:3" x14ac:dyDescent="0.7">
      <c r="C190">
        <f>_xlfn.ISOWEEKNUM(1)</f>
        <v>52</v>
      </c>
    </row>
    <row r="191" spans="3:3" x14ac:dyDescent="0.7">
      <c r="C191">
        <f>ISPMT(1,1,1,1)</f>
        <v>0</v>
      </c>
    </row>
    <row r="192" spans="3:3" x14ac:dyDescent="0.7">
      <c r="C192" t="b">
        <f>ISREF(1)</f>
        <v>0</v>
      </c>
    </row>
    <row r="193" spans="3:3" x14ac:dyDescent="0.7">
      <c r="C193" t="b">
        <f>ISTEXT(1)</f>
        <v>0</v>
      </c>
    </row>
    <row r="194" spans="3:3" x14ac:dyDescent="0.7">
      <c r="C194">
        <f>LARGE(1,1)</f>
        <v>1</v>
      </c>
    </row>
    <row r="195" spans="3:3" x14ac:dyDescent="0.7">
      <c r="C195">
        <f>LCM(1)</f>
        <v>1</v>
      </c>
    </row>
    <row r="196" spans="3:3" x14ac:dyDescent="0.7">
      <c r="C196" t="str">
        <f>LEFT(1)</f>
        <v>1</v>
      </c>
    </row>
    <row r="197" spans="3:3" x14ac:dyDescent="0.7">
      <c r="C197">
        <f>LEN(1)</f>
        <v>1</v>
      </c>
    </row>
    <row r="198" spans="3:3" x14ac:dyDescent="0.7">
      <c r="C198">
        <f>LN(1)</f>
        <v>0</v>
      </c>
    </row>
    <row r="199" spans="3:3" x14ac:dyDescent="0.7">
      <c r="C199">
        <f>LOG(1)</f>
        <v>0</v>
      </c>
    </row>
    <row r="200" spans="3:3" x14ac:dyDescent="0.7">
      <c r="C200">
        <f>LOG10(1)</f>
        <v>0</v>
      </c>
    </row>
    <row r="201" spans="3:3" x14ac:dyDescent="0.7">
      <c r="C201" t="e">
        <f>LOGINV(1,1,1)</f>
        <v>#NUM!</v>
      </c>
    </row>
    <row r="202" spans="3:3" x14ac:dyDescent="0.7">
      <c r="C202">
        <f>_xlfn.LOGNORM.DIST(1,1,1,1)</f>
        <v>0.15865525393145699</v>
      </c>
    </row>
    <row r="203" spans="3:3" x14ac:dyDescent="0.7">
      <c r="C203" t="e">
        <f>_xlfn.LOGNORM.INV(1,1,1)</f>
        <v>#NUM!</v>
      </c>
    </row>
    <row r="204" spans="3:3" x14ac:dyDescent="0.7">
      <c r="C204">
        <f>LOGNORMDIST(1,1,1)</f>
        <v>0.15865525393145699</v>
      </c>
    </row>
    <row r="205" spans="3:3" x14ac:dyDescent="0.7">
      <c r="C205" t="str">
        <f>LOWER(1)</f>
        <v>1</v>
      </c>
    </row>
    <row r="206" spans="3:3" x14ac:dyDescent="0.7">
      <c r="C206" t="e">
        <f>MATCH(1,1)</f>
        <v>#N/A</v>
      </c>
    </row>
    <row r="207" spans="3:3" x14ac:dyDescent="0.7">
      <c r="C207">
        <f>MAX(1)</f>
        <v>1</v>
      </c>
    </row>
    <row r="208" spans="3:3" x14ac:dyDescent="0.7">
      <c r="C208">
        <f>MAXA(1)</f>
        <v>1</v>
      </c>
    </row>
    <row r="209" spans="3:3" x14ac:dyDescent="0.7">
      <c r="C209">
        <f>MEDIAN(1)</f>
        <v>1</v>
      </c>
    </row>
    <row r="210" spans="3:3" x14ac:dyDescent="0.7">
      <c r="C210" t="str">
        <f>MID(1,1,1)</f>
        <v>1</v>
      </c>
    </row>
    <row r="211" spans="3:3" x14ac:dyDescent="0.7">
      <c r="C211">
        <f>MIN(1)</f>
        <v>1</v>
      </c>
    </row>
    <row r="212" spans="3:3" x14ac:dyDescent="0.7">
      <c r="C212">
        <f>MINA(1)</f>
        <v>1</v>
      </c>
    </row>
    <row r="213" spans="3:3" x14ac:dyDescent="0.7">
      <c r="C213">
        <f>MINUTE(1)</f>
        <v>0</v>
      </c>
    </row>
    <row r="214" spans="3:3" x14ac:dyDescent="0.7">
      <c r="C214" s="4" t="e">
        <f>MIRR(1,1,1)</f>
        <v>#DIV/0!</v>
      </c>
    </row>
    <row r="215" spans="3:3" x14ac:dyDescent="0.7">
      <c r="C215">
        <f>MMULT(1,1)</f>
        <v>1</v>
      </c>
    </row>
    <row r="216" spans="3:3" x14ac:dyDescent="0.7">
      <c r="C216">
        <f>MOD(1,1)</f>
        <v>0</v>
      </c>
    </row>
    <row r="217" spans="3:3" x14ac:dyDescent="0.7">
      <c r="C217" t="e">
        <f>MODE(1)</f>
        <v>#N/A</v>
      </c>
    </row>
    <row r="218" spans="3:3" x14ac:dyDescent="0.7">
      <c r="C218" t="e">
        <f>_xlfn.MODE.SNGL(1)</f>
        <v>#N/A</v>
      </c>
    </row>
    <row r="219" spans="3:3" x14ac:dyDescent="0.7">
      <c r="C219">
        <f>MONTH(1)</f>
        <v>1</v>
      </c>
    </row>
    <row r="220" spans="3:3" x14ac:dyDescent="0.7">
      <c r="C220">
        <f>MROUND(1,1)</f>
        <v>1</v>
      </c>
    </row>
    <row r="221" spans="3:3" x14ac:dyDescent="0.7">
      <c r="C221">
        <f>MULTINOMIAL(1)</f>
        <v>1</v>
      </c>
    </row>
    <row r="222" spans="3:3" x14ac:dyDescent="0.7">
      <c r="C222">
        <f>N(1)</f>
        <v>1</v>
      </c>
    </row>
    <row r="223" spans="3:3" x14ac:dyDescent="0.7">
      <c r="C223" t="e">
        <f>NA()</f>
        <v>#N/A</v>
      </c>
    </row>
    <row r="224" spans="3:3" x14ac:dyDescent="0.7">
      <c r="C224" t="e">
        <f>_xlfn.NEGBINOM.DIST(1,1,1,1)</f>
        <v>#NUM!</v>
      </c>
    </row>
    <row r="225" spans="3:3" x14ac:dyDescent="0.7">
      <c r="C225" t="e">
        <f>NEGBINOMDIST(1,1,1)</f>
        <v>#NUM!</v>
      </c>
    </row>
    <row r="226" spans="3:3" x14ac:dyDescent="0.7">
      <c r="C226">
        <f>NETWORKDAYS(1,1)</f>
        <v>0</v>
      </c>
    </row>
    <row r="227" spans="3:3" x14ac:dyDescent="0.7">
      <c r="C227">
        <f>NETWORKDAYS.INTL(1,1)</f>
        <v>0</v>
      </c>
    </row>
    <row r="228" spans="3:3" x14ac:dyDescent="0.7">
      <c r="C228">
        <f>NOMINAL(1,1)</f>
        <v>1</v>
      </c>
    </row>
    <row r="229" spans="3:3" x14ac:dyDescent="0.7">
      <c r="C229">
        <f>_xlfn.NORM.DIST(1,1,1,1)</f>
        <v>0.5</v>
      </c>
    </row>
    <row r="230" spans="3:3" x14ac:dyDescent="0.7">
      <c r="C230" t="e">
        <f>_xlfn.NORM.INV(1,1,1)</f>
        <v>#NUM!</v>
      </c>
    </row>
    <row r="231" spans="3:3" x14ac:dyDescent="0.7">
      <c r="C231">
        <f>_xlfn.NORM.S.DIST(1,1)</f>
        <v>0.84134474606854304</v>
      </c>
    </row>
    <row r="232" spans="3:3" x14ac:dyDescent="0.7">
      <c r="C232" t="e">
        <f>_xlfn.NORM.S.INV(1)</f>
        <v>#NUM!</v>
      </c>
    </row>
    <row r="233" spans="3:3" x14ac:dyDescent="0.7">
      <c r="C233">
        <f>NORMDIST(1,1,1,1)</f>
        <v>0.5</v>
      </c>
    </row>
    <row r="234" spans="3:3" x14ac:dyDescent="0.7">
      <c r="C234" t="e">
        <f>NORMINV(1,1,1)</f>
        <v>#NUM!</v>
      </c>
    </row>
    <row r="235" spans="3:3" x14ac:dyDescent="0.7">
      <c r="C235">
        <f>NORMSDIST(1)</f>
        <v>0.84134474606854304</v>
      </c>
    </row>
    <row r="236" spans="3:3" x14ac:dyDescent="0.7">
      <c r="C236" t="e">
        <f>NORMSINV(1)</f>
        <v>#NUM!</v>
      </c>
    </row>
    <row r="237" spans="3:3" x14ac:dyDescent="0.7">
      <c r="C237" t="b">
        <f>NOT(1)</f>
        <v>0</v>
      </c>
    </row>
    <row r="238" spans="3:3" x14ac:dyDescent="0.7">
      <c r="C238" s="5">
        <f ca="1">NOW()</f>
        <v>46281.559401967592</v>
      </c>
    </row>
    <row r="239" spans="3:3" x14ac:dyDescent="0.7">
      <c r="C239">
        <f>NPER(1,1,1)</f>
        <v>-1</v>
      </c>
    </row>
    <row r="240" spans="3:3" x14ac:dyDescent="0.7">
      <c r="C240" s="2">
        <f>NPV(1,1)</f>
        <v>0.5</v>
      </c>
    </row>
    <row r="241" spans="3:3" x14ac:dyDescent="0.7">
      <c r="C241" t="str">
        <f>OCT2BIN(1)</f>
        <v>1</v>
      </c>
    </row>
    <row r="242" spans="3:3" x14ac:dyDescent="0.7">
      <c r="C242">
        <f>OCT2DEC(1)</f>
        <v>1</v>
      </c>
    </row>
    <row r="243" spans="3:3" x14ac:dyDescent="0.7">
      <c r="C243" t="str">
        <f>OCT2HEX(1)</f>
        <v>1</v>
      </c>
    </row>
    <row r="244" spans="3:3" x14ac:dyDescent="0.7">
      <c r="C244">
        <f>ODD(1)</f>
        <v>1</v>
      </c>
    </row>
    <row r="245" spans="3:3" x14ac:dyDescent="0.7">
      <c r="C245" t="b">
        <f>OR(1)</f>
        <v>1</v>
      </c>
    </row>
    <row r="246" spans="3:3" x14ac:dyDescent="0.7">
      <c r="C246">
        <f>_xlfn.PDURATION(1,1,1)</f>
        <v>0</v>
      </c>
    </row>
    <row r="247" spans="3:3" x14ac:dyDescent="0.7">
      <c r="C247" t="e">
        <f>PEARSON(1,1)</f>
        <v>#DIV/0!</v>
      </c>
    </row>
    <row r="248" spans="3:3" x14ac:dyDescent="0.7">
      <c r="C248">
        <f>PERCENTILE(1,1)</f>
        <v>1</v>
      </c>
    </row>
    <row r="249" spans="3:3" x14ac:dyDescent="0.7">
      <c r="C249" t="e">
        <f>_xlfn.PERCENTILE.EXC(1,1)</f>
        <v>#NUM!</v>
      </c>
    </row>
    <row r="250" spans="3:3" x14ac:dyDescent="0.7">
      <c r="C250">
        <f>_xlfn.PERCENTILE.INC(1,1)</f>
        <v>1</v>
      </c>
    </row>
    <row r="251" spans="3:3" x14ac:dyDescent="0.7">
      <c r="C251">
        <f>_xlfn.PHI(1)</f>
        <v>0.24197072451914337</v>
      </c>
    </row>
    <row r="252" spans="3:3" x14ac:dyDescent="0.7">
      <c r="C252">
        <f>PI()</f>
        <v>3.1415926535897931</v>
      </c>
    </row>
    <row r="253" spans="3:3" x14ac:dyDescent="0.7">
      <c r="C253" s="2">
        <f>PMT(1,1,1)</f>
        <v>-2</v>
      </c>
    </row>
    <row r="254" spans="3:3" x14ac:dyDescent="0.7">
      <c r="C254">
        <f>POISSON(1,1,1)</f>
        <v>0.73575888234288478</v>
      </c>
    </row>
    <row r="255" spans="3:3" x14ac:dyDescent="0.7">
      <c r="C255">
        <f>_xlfn.POISSON.DIST(1,1,1)</f>
        <v>0.73575888234288478</v>
      </c>
    </row>
    <row r="256" spans="3:3" x14ac:dyDescent="0.7">
      <c r="C256">
        <f>POWER(1,1)</f>
        <v>1</v>
      </c>
    </row>
    <row r="257" spans="3:3" x14ac:dyDescent="0.7">
      <c r="C257" s="2">
        <f>PPMT(1,1,1,1)</f>
        <v>-1</v>
      </c>
    </row>
    <row r="258" spans="3:3" x14ac:dyDescent="0.7">
      <c r="C258">
        <f>PRODUCT(1)</f>
        <v>1</v>
      </c>
    </row>
    <row r="259" spans="3:3" x14ac:dyDescent="0.7">
      <c r="C259" t="str">
        <f>PROPER(1)</f>
        <v>1</v>
      </c>
    </row>
    <row r="260" spans="3:3" x14ac:dyDescent="0.7">
      <c r="C260" s="2">
        <f>PV(1,1,1)</f>
        <v>-0.5</v>
      </c>
    </row>
    <row r="261" spans="3:3" x14ac:dyDescent="0.7">
      <c r="C261">
        <f>QUARTILE(1,1)</f>
        <v>1</v>
      </c>
    </row>
    <row r="262" spans="3:3" x14ac:dyDescent="0.7">
      <c r="C262" t="e">
        <f>_xlfn.QUARTILE.EXC(1,1)</f>
        <v>#NUM!</v>
      </c>
    </row>
    <row r="263" spans="3:3" x14ac:dyDescent="0.7">
      <c r="C263">
        <f>_xlfn.QUARTILE.INC(1,1)</f>
        <v>1</v>
      </c>
    </row>
    <row r="264" spans="3:3" x14ac:dyDescent="0.7">
      <c r="C264">
        <f>QUOTIENT(1,1)</f>
        <v>1</v>
      </c>
    </row>
    <row r="265" spans="3:3" x14ac:dyDescent="0.7">
      <c r="C265">
        <f>RADIANS(1)</f>
        <v>1.7453292519943295E-2</v>
      </c>
    </row>
    <row r="266" spans="3:3" x14ac:dyDescent="0.7">
      <c r="C266">
        <f ca="1">RAND()</f>
        <v>0.47756171660472124</v>
      </c>
    </row>
    <row r="267" spans="3:3" x14ac:dyDescent="0.7">
      <c r="C267">
        <f ca="1">RANDBETWEEN(1,1)</f>
        <v>1</v>
      </c>
    </row>
    <row r="268" spans="3:3" x14ac:dyDescent="0.7">
      <c r="C268" s="4" t="e">
        <f>RATE(1,1,1)</f>
        <v>#NUM!</v>
      </c>
    </row>
    <row r="269" spans="3:3" x14ac:dyDescent="0.7">
      <c r="C269" t="str">
        <f>REPLACE(1,1,1,1)</f>
        <v>1</v>
      </c>
    </row>
    <row r="270" spans="3:3" x14ac:dyDescent="0.7">
      <c r="C270" t="str">
        <f>REPT(1,1)</f>
        <v>1</v>
      </c>
    </row>
    <row r="271" spans="3:3" x14ac:dyDescent="0.7">
      <c r="C271" t="str">
        <f>RIGHT(1)</f>
        <v>1</v>
      </c>
    </row>
    <row r="272" spans="3:3" x14ac:dyDescent="0.7">
      <c r="C272" t="str">
        <f>ROMAN(1)</f>
        <v>I</v>
      </c>
    </row>
    <row r="273" spans="3:3" x14ac:dyDescent="0.7">
      <c r="C273">
        <f>ROUND(1,1)</f>
        <v>1</v>
      </c>
    </row>
    <row r="274" spans="3:3" x14ac:dyDescent="0.7">
      <c r="C274">
        <f>ROUNDDOWN(1,1)</f>
        <v>1</v>
      </c>
    </row>
    <row r="275" spans="3:3" x14ac:dyDescent="0.7">
      <c r="C275">
        <f>ROUNDUP(1,1)</f>
        <v>1</v>
      </c>
    </row>
    <row r="276" spans="3:3" x14ac:dyDescent="0.7">
      <c r="C276">
        <f>ROW()</f>
        <v>276</v>
      </c>
    </row>
    <row r="277" spans="3:3" x14ac:dyDescent="0.7">
      <c r="C277">
        <f>ROWS(1)</f>
        <v>1</v>
      </c>
    </row>
    <row r="278" spans="3:3" x14ac:dyDescent="0.7">
      <c r="C278">
        <f>_xlfn.RRI(1,1,1)</f>
        <v>0</v>
      </c>
    </row>
    <row r="279" spans="3:3" x14ac:dyDescent="0.7">
      <c r="C279" t="e">
        <f>RSQ(1,1)</f>
        <v>#DIV/0!</v>
      </c>
    </row>
    <row r="280" spans="3:3" x14ac:dyDescent="0.7">
      <c r="C280">
        <f>SEARCH(1,1)</f>
        <v>1</v>
      </c>
    </row>
    <row r="281" spans="3:3" x14ac:dyDescent="0.7">
      <c r="C281">
        <f>_xlfn.SEC(1)</f>
        <v>1.8508157176809255</v>
      </c>
    </row>
    <row r="282" spans="3:3" x14ac:dyDescent="0.7">
      <c r="C282">
        <f>_xlfn.SECH(1)</f>
        <v>0.64805427366388546</v>
      </c>
    </row>
    <row r="283" spans="3:3" x14ac:dyDescent="0.7">
      <c r="C283">
        <f>SECOND(1)</f>
        <v>0</v>
      </c>
    </row>
    <row r="284" spans="3:3" x14ac:dyDescent="0.7">
      <c r="C284">
        <f>_xlfn.SEQUENCE(1)</f>
        <v>1</v>
      </c>
    </row>
    <row r="285" spans="3:3" x14ac:dyDescent="0.7">
      <c r="C285">
        <f>SERIESSUM(1,1,1,1)</f>
        <v>1</v>
      </c>
    </row>
    <row r="286" spans="3:3" x14ac:dyDescent="0.7">
      <c r="C286">
        <f ca="1">_xlfn.SHEET()</f>
        <v>1</v>
      </c>
    </row>
    <row r="287" spans="3:3" x14ac:dyDescent="0.7">
      <c r="C287">
        <f ca="1">_xlfn.SHEETS()</f>
        <v>1</v>
      </c>
    </row>
    <row r="288" spans="3:3" x14ac:dyDescent="0.7">
      <c r="C288">
        <f>SIGN(1)</f>
        <v>1</v>
      </c>
    </row>
    <row r="289" spans="3:3" x14ac:dyDescent="0.7">
      <c r="C289">
        <f>SIN(1)</f>
        <v>0.8414709848078965</v>
      </c>
    </row>
    <row r="290" spans="3:3" x14ac:dyDescent="0.7">
      <c r="C290">
        <f>SINH(1)</f>
        <v>1.1752011936438014</v>
      </c>
    </row>
    <row r="291" spans="3:3" x14ac:dyDescent="0.7">
      <c r="C291" t="e">
        <f>SKEW(1)</f>
        <v>#DIV/0!</v>
      </c>
    </row>
    <row r="292" spans="3:3" x14ac:dyDescent="0.7">
      <c r="C292" t="e">
        <f>_xlfn.SKEW.P(1)</f>
        <v>#DIV/0!</v>
      </c>
    </row>
    <row r="293" spans="3:3" x14ac:dyDescent="0.7">
      <c r="C293" s="2">
        <f>SLN(1,1,1)</f>
        <v>0</v>
      </c>
    </row>
    <row r="294" spans="3:3" x14ac:dyDescent="0.7">
      <c r="C294" t="e">
        <f>SLOPE(1,1)</f>
        <v>#DIV/0!</v>
      </c>
    </row>
    <row r="295" spans="3:3" x14ac:dyDescent="0.7">
      <c r="C295">
        <f>SMALL(1,1)</f>
        <v>1</v>
      </c>
    </row>
    <row r="296" spans="3:3" x14ac:dyDescent="0.7">
      <c r="C296">
        <f>_xlfn._xlws.SORT(1)</f>
        <v>1</v>
      </c>
    </row>
    <row r="297" spans="3:3" x14ac:dyDescent="0.7">
      <c r="C297">
        <f>SQRT(1)</f>
        <v>1</v>
      </c>
    </row>
    <row r="298" spans="3:3" x14ac:dyDescent="0.7">
      <c r="C298">
        <f>SQRTPI(1)</f>
        <v>1.7724538509055159</v>
      </c>
    </row>
    <row r="299" spans="3:3" x14ac:dyDescent="0.7">
      <c r="C299">
        <f>STANDARDIZE(1,1,1)</f>
        <v>0</v>
      </c>
    </row>
    <row r="300" spans="3:3" x14ac:dyDescent="0.7">
      <c r="C300" t="e">
        <f>STDEV(1)</f>
        <v>#DIV/0!</v>
      </c>
    </row>
    <row r="301" spans="3:3" x14ac:dyDescent="0.7">
      <c r="C301">
        <f>_xlfn.STDEV.P(1)</f>
        <v>0</v>
      </c>
    </row>
    <row r="302" spans="3:3" x14ac:dyDescent="0.7">
      <c r="C302" t="e">
        <f>_xlfn.STDEV.S(1)</f>
        <v>#DIV/0!</v>
      </c>
    </row>
    <row r="303" spans="3:3" x14ac:dyDescent="0.7">
      <c r="C303" t="e">
        <f>STDEVA(1)</f>
        <v>#DIV/0!</v>
      </c>
    </row>
    <row r="304" spans="3:3" x14ac:dyDescent="0.7">
      <c r="C304">
        <f>STDEVP(1)</f>
        <v>0</v>
      </c>
    </row>
    <row r="305" spans="3:3" x14ac:dyDescent="0.7">
      <c r="C305">
        <f>STDEVPA(1)</f>
        <v>0</v>
      </c>
    </row>
    <row r="306" spans="3:3" x14ac:dyDescent="0.7">
      <c r="C306" t="e">
        <f>STEYX(1,1)</f>
        <v>#DIV/0!</v>
      </c>
    </row>
    <row r="307" spans="3:3" x14ac:dyDescent="0.7">
      <c r="C307" t="str">
        <f>SUBSTITUTE(1,1,1)</f>
        <v>1</v>
      </c>
    </row>
    <row r="308" spans="3:3" x14ac:dyDescent="0.7">
      <c r="C308">
        <f>SUM(1)</f>
        <v>1</v>
      </c>
    </row>
    <row r="309" spans="3:3" x14ac:dyDescent="0.7">
      <c r="C309">
        <f>SUMPRODUCT(1)</f>
        <v>1</v>
      </c>
    </row>
    <row r="310" spans="3:3" x14ac:dyDescent="0.7">
      <c r="C310">
        <f>SUMSQ(1)</f>
        <v>1</v>
      </c>
    </row>
    <row r="311" spans="3:3" x14ac:dyDescent="0.7">
      <c r="C311">
        <f>SUMX2MY2(1,1)</f>
        <v>0</v>
      </c>
    </row>
    <row r="312" spans="3:3" x14ac:dyDescent="0.7">
      <c r="C312">
        <f>SUMX2PY2(1,1)</f>
        <v>2</v>
      </c>
    </row>
    <row r="313" spans="3:3" x14ac:dyDescent="0.7">
      <c r="C313">
        <f>SUMXMY2(1,1)</f>
        <v>0</v>
      </c>
    </row>
    <row r="314" spans="3:3" x14ac:dyDescent="0.7">
      <c r="C314">
        <f>_xlfn.SWITCH(1,1,1)</f>
        <v>1</v>
      </c>
    </row>
    <row r="315" spans="3:3" x14ac:dyDescent="0.7">
      <c r="C315" s="2">
        <f>SYD(1,1,1,1)</f>
        <v>0</v>
      </c>
    </row>
    <row r="316" spans="3:3" x14ac:dyDescent="0.7">
      <c r="C316" t="str">
        <f>T(1)</f>
        <v/>
      </c>
    </row>
    <row r="317" spans="3:3" x14ac:dyDescent="0.7">
      <c r="C317">
        <f>_xlfn.T.DIST(1,1,1)</f>
        <v>0.75</v>
      </c>
    </row>
    <row r="318" spans="3:3" x14ac:dyDescent="0.7">
      <c r="C318">
        <f>_xlfn.T.DIST.2T(1,1)</f>
        <v>0.50000000000000011</v>
      </c>
    </row>
    <row r="319" spans="3:3" x14ac:dyDescent="0.7">
      <c r="C319">
        <f>_xlfn.T.DIST.RT(1,1)</f>
        <v>0.25000000000000006</v>
      </c>
    </row>
    <row r="320" spans="3:3" x14ac:dyDescent="0.7">
      <c r="C320" t="e">
        <f>_xlfn.T.INV(1,1)</f>
        <v>#NUM!</v>
      </c>
    </row>
    <row r="321" spans="3:3" x14ac:dyDescent="0.7">
      <c r="C321">
        <f>_xlfn.T.INV.2T(1,1)</f>
        <v>0</v>
      </c>
    </row>
    <row r="322" spans="3:3" x14ac:dyDescent="0.7">
      <c r="C322" t="e">
        <f>_xlfn.T.TEST(1,1,1,1)</f>
        <v>#DIV/0!</v>
      </c>
    </row>
    <row r="323" spans="3:3" x14ac:dyDescent="0.7">
      <c r="C323">
        <f>TAN(1)</f>
        <v>1.5574077246549023</v>
      </c>
    </row>
    <row r="324" spans="3:3" x14ac:dyDescent="0.7">
      <c r="C324">
        <f>TANH(1)</f>
        <v>0.76159415595576485</v>
      </c>
    </row>
    <row r="325" spans="3:3" x14ac:dyDescent="0.7">
      <c r="C325" t="e">
        <f>TBILLEQ(1,1,1)</f>
        <v>#NUM!</v>
      </c>
    </row>
    <row r="326" spans="3:3" x14ac:dyDescent="0.7">
      <c r="C326" t="e">
        <f>TBILLPRICE(1,1,1)</f>
        <v>#NUM!</v>
      </c>
    </row>
    <row r="327" spans="3:3" x14ac:dyDescent="0.7">
      <c r="C327" t="e">
        <f>TBILLYIELD(1,1,1)</f>
        <v>#NUM!</v>
      </c>
    </row>
    <row r="328" spans="3:3" x14ac:dyDescent="0.7">
      <c r="C328">
        <f>TDIST(1,1,1)</f>
        <v>0.25000000000000006</v>
      </c>
    </row>
    <row r="329" spans="3:3" x14ac:dyDescent="0.7">
      <c r="C329" t="str">
        <f>TEXT(1,1)</f>
        <v>1</v>
      </c>
    </row>
    <row r="330" spans="3:3" x14ac:dyDescent="0.7">
      <c r="C330" t="str">
        <f>_xlfn.TEXTJOIN(1,1,1)</f>
        <v>1</v>
      </c>
    </row>
    <row r="331" spans="3:3" x14ac:dyDescent="0.7">
      <c r="C331" s="6">
        <f>TIME(1,1,1)</f>
        <v>4.2372685185185187E-2</v>
      </c>
    </row>
    <row r="332" spans="3:3" x14ac:dyDescent="0.7">
      <c r="C332" t="e">
        <f>TIMEVALUE(1)</f>
        <v>#VALUE!</v>
      </c>
    </row>
    <row r="333" spans="3:3" x14ac:dyDescent="0.7">
      <c r="C333">
        <f>TINV(1,1)</f>
        <v>0</v>
      </c>
    </row>
    <row r="334" spans="3:3" x14ac:dyDescent="0.7">
      <c r="C334" s="1">
        <f ca="1">TODAY()</f>
        <v>46281</v>
      </c>
    </row>
    <row r="335" spans="3:3" x14ac:dyDescent="0.7">
      <c r="C335">
        <f>TRANSPOSE(1)</f>
        <v>1</v>
      </c>
    </row>
    <row r="336" spans="3:3" x14ac:dyDescent="0.7">
      <c r="C336" t="str">
        <f>TRIM(1)</f>
        <v>1</v>
      </c>
    </row>
    <row r="337" spans="3:3" x14ac:dyDescent="0.7">
      <c r="C337" t="b">
        <f>TRUE()</f>
        <v>1</v>
      </c>
    </row>
    <row r="338" spans="3:3" x14ac:dyDescent="0.7">
      <c r="C338">
        <f>TRUNC(1)</f>
        <v>1</v>
      </c>
    </row>
    <row r="339" spans="3:3" x14ac:dyDescent="0.7">
      <c r="C339" t="e">
        <f>TTEST(1,1,1,1)</f>
        <v>#DIV/0!</v>
      </c>
    </row>
    <row r="340" spans="3:3" x14ac:dyDescent="0.7">
      <c r="C340">
        <f>TYPE(1)</f>
        <v>1</v>
      </c>
    </row>
    <row r="341" spans="3:3" x14ac:dyDescent="0.7">
      <c r="C341" t="str">
        <f>_xlfn.UNICHAR(1)</f>
        <v>_x0001_</v>
      </c>
    </row>
    <row r="342" spans="3:3" x14ac:dyDescent="0.7">
      <c r="C342">
        <f>_xlfn.UNICODE(1)</f>
        <v>49</v>
      </c>
    </row>
    <row r="343" spans="3:3" x14ac:dyDescent="0.7">
      <c r="C343">
        <f>_xlfn.UNIQUE(1)</f>
        <v>1</v>
      </c>
    </row>
    <row r="344" spans="3:3" x14ac:dyDescent="0.7">
      <c r="C344" t="str">
        <f>UPPER(1)</f>
        <v>1</v>
      </c>
    </row>
    <row r="345" spans="3:3" x14ac:dyDescent="0.7">
      <c r="C345">
        <f>VALUE(1)</f>
        <v>1</v>
      </c>
    </row>
    <row r="346" spans="3:3" x14ac:dyDescent="0.7">
      <c r="C346" t="e">
        <f>VAR(1)</f>
        <v>#DIV/0!</v>
      </c>
    </row>
    <row r="347" spans="3:3" x14ac:dyDescent="0.7">
      <c r="C347">
        <f>_xlfn.VAR.P(1)</f>
        <v>0</v>
      </c>
    </row>
    <row r="348" spans="3:3" x14ac:dyDescent="0.7">
      <c r="C348" t="e">
        <f>_xlfn.VAR.S(1)</f>
        <v>#DIV/0!</v>
      </c>
    </row>
    <row r="349" spans="3:3" x14ac:dyDescent="0.7">
      <c r="C349" t="e">
        <f>VARA(1)</f>
        <v>#DIV/0!</v>
      </c>
    </row>
    <row r="350" spans="3:3" x14ac:dyDescent="0.7">
      <c r="C350">
        <f>VARP(1)</f>
        <v>0</v>
      </c>
    </row>
    <row r="351" spans="3:3" x14ac:dyDescent="0.7">
      <c r="C351">
        <f>VARPA(1)</f>
        <v>0</v>
      </c>
    </row>
    <row r="352" spans="3:3" x14ac:dyDescent="0.7">
      <c r="C352" t="e">
        <f>VLOOKUP(1,1,1)</f>
        <v>#N/A</v>
      </c>
    </row>
    <row r="353" spans="3:3" x14ac:dyDescent="0.7">
      <c r="C353">
        <f>_xlfn.VSTACK(1)</f>
        <v>1</v>
      </c>
    </row>
    <row r="354" spans="3:3" x14ac:dyDescent="0.7">
      <c r="C354">
        <f>WEEKDAY(1)</f>
        <v>1</v>
      </c>
    </row>
    <row r="355" spans="3:3" x14ac:dyDescent="0.7">
      <c r="C355">
        <f>WEEKNUM(1)</f>
        <v>1</v>
      </c>
    </row>
    <row r="356" spans="3:3" x14ac:dyDescent="0.7">
      <c r="C356">
        <f>WEIBULL(1,1,1,1)</f>
        <v>0.63212055882855767</v>
      </c>
    </row>
    <row r="357" spans="3:3" x14ac:dyDescent="0.7">
      <c r="C357">
        <f>_xlfn.WEIBULL.DIST(1,1,1,1)</f>
        <v>0.63212055882855767</v>
      </c>
    </row>
    <row r="358" spans="3:3" x14ac:dyDescent="0.7">
      <c r="C358">
        <f>WORKDAY(1,1)</f>
        <v>2</v>
      </c>
    </row>
    <row r="359" spans="3:3" x14ac:dyDescent="0.7">
      <c r="C359">
        <f>WORKDAY.INTL(1,1)</f>
        <v>2</v>
      </c>
    </row>
    <row r="360" spans="3:3" x14ac:dyDescent="0.7">
      <c r="C360" t="e">
        <f>XIRR(1,1)</f>
        <v>#N/A</v>
      </c>
    </row>
    <row r="361" spans="3:3" x14ac:dyDescent="0.7">
      <c r="C361">
        <f>_xlfn.XLOOKUP(1,1,1)</f>
        <v>1</v>
      </c>
    </row>
    <row r="362" spans="3:3" x14ac:dyDescent="0.7">
      <c r="C362">
        <f>XNPV(1,1,1)</f>
        <v>1</v>
      </c>
    </row>
    <row r="363" spans="3:3" x14ac:dyDescent="0.7">
      <c r="C363" t="b">
        <f>_xlfn.XOR(1)</f>
        <v>1</v>
      </c>
    </row>
    <row r="364" spans="3:3" x14ac:dyDescent="0.7">
      <c r="C364">
        <f>YEAR(1)</f>
        <v>1900</v>
      </c>
    </row>
    <row r="365" spans="3:3" x14ac:dyDescent="0.7">
      <c r="C365">
        <f>YEARFRAC(1,1)</f>
        <v>0</v>
      </c>
    </row>
    <row r="366" spans="3:3" x14ac:dyDescent="0.7">
      <c r="C366" t="e">
        <f>_xlfn.Z.TEST(1,1)</f>
        <v>#DIV/0!</v>
      </c>
    </row>
    <row r="367" spans="3:3" x14ac:dyDescent="0.7">
      <c r="C367" t="e">
        <f>ZTEST(1,1)</f>
        <v>#DIV/0!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見本</dc:creator>
  <cp:lastModifiedBy>見本</cp:lastModifiedBy>
  <dcterms:created xsi:type="dcterms:W3CDTF">2026-09-16T04:25:30Z</dcterms:created>
  <dcterms:modified xsi:type="dcterms:W3CDTF">2026-09-16T04:25:32Z</dcterms:modified>
</cp:coreProperties>
</file>